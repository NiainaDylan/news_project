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ylan\ITU\S6\Web\news_site\"/>
    </mc:Choice>
  </mc:AlternateContent>
  <xr:revisionPtr revIDLastSave="0" documentId="8_{A6F22180-60EC-4D10-89E1-2CAA7D892467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Groupe" sheetId="1" r:id="rId1"/>
    <sheet name="Todo" sheetId="2" r:id="rId2"/>
    <sheet name="Recapitulation" sheetId="4" r:id="rId3"/>
    <sheet name="Avancemen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5" i="2"/>
  <c r="J5" i="2" s="1"/>
  <c r="I6" i="2"/>
  <c r="I7" i="2"/>
  <c r="J7" i="2" s="1"/>
  <c r="I9" i="2"/>
  <c r="I10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J34" i="2" s="1"/>
  <c r="I36" i="2"/>
  <c r="I37" i="2"/>
  <c r="J37" i="2" s="1"/>
  <c r="I38" i="2"/>
  <c r="I39" i="2"/>
  <c r="I41" i="2"/>
  <c r="I44" i="2"/>
  <c r="I45" i="2"/>
  <c r="J45" i="2" s="1"/>
  <c r="I46" i="2"/>
  <c r="J46" i="2" s="1"/>
  <c r="I47" i="2"/>
  <c r="J47" i="2" s="1"/>
  <c r="I48" i="2"/>
  <c r="J48" i="2" s="1"/>
  <c r="I49" i="2"/>
  <c r="J49" i="2" s="1"/>
  <c r="I2" i="2"/>
  <c r="A2" i="5"/>
  <c r="A3" i="4"/>
  <c r="A2" i="4"/>
  <c r="B2" i="4" s="1"/>
  <c r="J3" i="2"/>
  <c r="I43" i="2"/>
  <c r="J33" i="2"/>
  <c r="J30" i="2"/>
  <c r="I12" i="2"/>
  <c r="I8" i="2"/>
  <c r="J39" i="2" l="1"/>
  <c r="J13" i="2"/>
  <c r="I11" i="2"/>
  <c r="J11" i="2" s="1"/>
  <c r="I42" i="2"/>
  <c r="J42" i="2" s="1"/>
  <c r="J36" i="2"/>
  <c r="I40" i="2"/>
  <c r="J40" i="2" s="1"/>
  <c r="J38" i="2"/>
  <c r="I4" i="2"/>
  <c r="J4" i="2" s="1"/>
  <c r="J41" i="2"/>
  <c r="I35" i="2"/>
  <c r="J35" i="2" s="1"/>
  <c r="C2" i="5"/>
  <c r="J14" i="2"/>
  <c r="J44" i="2"/>
  <c r="J16" i="2"/>
  <c r="J9" i="2"/>
  <c r="J43" i="2"/>
  <c r="J18" i="2"/>
  <c r="J29" i="2"/>
  <c r="J31" i="2"/>
  <c r="J8" i="2"/>
  <c r="J32" i="2"/>
  <c r="J12" i="2"/>
  <c r="J15" i="2"/>
  <c r="J17" i="2"/>
  <c r="J10" i="2"/>
  <c r="J2" i="2"/>
  <c r="B2" i="5"/>
  <c r="C2" i="4"/>
  <c r="C3" i="4"/>
  <c r="D3" i="4" s="1"/>
  <c r="B3" i="4"/>
  <c r="B5" i="4" s="1"/>
  <c r="C5" i="4" l="1"/>
  <c r="D2" i="4"/>
  <c r="C4" i="5"/>
  <c r="E2" i="5"/>
  <c r="D2" i="5"/>
</calcChain>
</file>

<file path=xl/sharedStrings.xml><?xml version="1.0" encoding="utf-8"?>
<sst xmlns="http://schemas.openxmlformats.org/spreadsheetml/2006/main" count="312" uniqueCount="117">
  <si>
    <t>ETU</t>
  </si>
  <si>
    <t>Prenom</t>
  </si>
  <si>
    <t>-</t>
  </si>
  <si>
    <t>Module</t>
  </si>
  <si>
    <t>Pages</t>
  </si>
  <si>
    <t>Taches</t>
  </si>
  <si>
    <t>Type</t>
  </si>
  <si>
    <t>Qui</t>
  </si>
  <si>
    <t>Estimation</t>
  </si>
  <si>
    <t>Temps passes</t>
  </si>
  <si>
    <t>Reste a faire</t>
  </si>
  <si>
    <t>Avancement</t>
  </si>
  <si>
    <t>tier</t>
  </si>
  <si>
    <t>Tier</t>
  </si>
  <si>
    <t>Backoffice</t>
  </si>
  <si>
    <t>login.php</t>
  </si>
  <si>
    <t>Metier</t>
  </si>
  <si>
    <t>Affichage</t>
  </si>
  <si>
    <t>articles</t>
  </si>
  <si>
    <t>Frontoffice</t>
  </si>
  <si>
    <t>home.php</t>
  </si>
  <si>
    <t>detail-article</t>
  </si>
  <si>
    <t>header.php</t>
  </si>
  <si>
    <t>Integration</t>
  </si>
  <si>
    <t>Total</t>
  </si>
  <si>
    <t>Temps passer</t>
  </si>
  <si>
    <t>Estimation Total</t>
  </si>
  <si>
    <t>Temps passer Total</t>
  </si>
  <si>
    <t>Reste a faire Total</t>
  </si>
  <si>
    <t>Depassement</t>
  </si>
  <si>
    <t xml:space="preserve"> </t>
  </si>
  <si>
    <t>heures totale passe :</t>
  </si>
  <si>
    <t>ETU003341</t>
  </si>
  <si>
    <t>ETU003298</t>
  </si>
  <si>
    <t>Dylan</t>
  </si>
  <si>
    <t>Alan</t>
  </si>
  <si>
    <t>Initialisation environnement docker+ test</t>
  </si>
  <si>
    <t>Creation git repository</t>
  </si>
  <si>
    <t>squelette du projet</t>
  </si>
  <si>
    <t>Conception base de donnees</t>
  </si>
  <si>
    <t>N/A</t>
  </si>
  <si>
    <t>Initialisation donnees</t>
  </si>
  <si>
    <t>BDD</t>
  </si>
  <si>
    <t>Connection PDO</t>
  </si>
  <si>
    <t>architecture</t>
  </si>
  <si>
    <t>Mis en place route index.php</t>
  </si>
  <si>
    <t>backOffice/index.php</t>
  </si>
  <si>
    <t>authentification</t>
  </si>
  <si>
    <t xml:space="preserve">fonction login() </t>
  </si>
  <si>
    <t>formulaire de login</t>
  </si>
  <si>
    <t>global</t>
  </si>
  <si>
    <t>barre de navigation</t>
  </si>
  <si>
    <t>article_add.php</t>
  </si>
  <si>
    <t>DAO article : save + list</t>
  </si>
  <si>
    <t xml:space="preserve">Formulaire d'ajout d'article </t>
  </si>
  <si>
    <t>Integration API TinyMCE</t>
  </si>
  <si>
    <t xml:space="preserve">BackOffice </t>
  </si>
  <si>
    <t xml:space="preserve">Requete AJAX pour insertion article </t>
  </si>
  <si>
    <t xml:space="preserve">input : Upload image </t>
  </si>
  <si>
    <t xml:space="preserve">Formulaire de modification </t>
  </si>
  <si>
    <t>Metier modifier article</t>
  </si>
  <si>
    <t xml:space="preserve">Backoffice </t>
  </si>
  <si>
    <t xml:space="preserve">articles </t>
  </si>
  <si>
    <t>article_list.php</t>
  </si>
  <si>
    <t>creation filtre (source, categorie)</t>
  </si>
  <si>
    <t xml:space="preserve">implimentation filtre </t>
  </si>
  <si>
    <t>article_details.php</t>
  </si>
  <si>
    <t>DAO article : findById()</t>
  </si>
  <si>
    <t>articles_details.php</t>
  </si>
  <si>
    <t>Details articles Card</t>
  </si>
  <si>
    <t xml:space="preserve">categorie </t>
  </si>
  <si>
    <t>CRUD</t>
  </si>
  <si>
    <t xml:space="preserve">Metier </t>
  </si>
  <si>
    <t>categorie_list.php</t>
  </si>
  <si>
    <t>List</t>
  </si>
  <si>
    <t>categorie_add.php</t>
  </si>
  <si>
    <t>Formulaire</t>
  </si>
  <si>
    <t>source</t>
  </si>
  <si>
    <t>source_list.php</t>
  </si>
  <si>
    <t>source_add.php</t>
  </si>
  <si>
    <t>Navigation</t>
  </si>
  <si>
    <t>acceuil.php</t>
  </si>
  <si>
    <t>Mise en place du header,menu principale et liens de navigation</t>
  </si>
  <si>
    <t>accueil.php</t>
  </si>
  <si>
    <t>Ajout du filtre global(recherche,categorie,source,periode)</t>
  </si>
  <si>
    <t>Accueil</t>
  </si>
  <si>
    <t>Affichage de A la une (image,titre,resume,meta info)</t>
  </si>
  <si>
    <t>Afficahge du bloc Flash info</t>
  </si>
  <si>
    <t xml:space="preserve">Affichage de la grille des derniers articles </t>
  </si>
  <si>
    <t>Generation des urls propres /pages/slug-id.html</t>
  </si>
  <si>
    <t xml:space="preserve">Affichage de la page detail avec contenu nettoye </t>
  </si>
  <si>
    <t>Gestion des redirections canonical</t>
  </si>
  <si>
    <t>Images</t>
  </si>
  <si>
    <t xml:space="preserve">Fallback image si image absente </t>
  </si>
  <si>
    <t>Meta</t>
  </si>
  <si>
    <t>header.php + accueil.php</t>
  </si>
  <si>
    <t xml:space="preserve">Injection title,description,canonical,open graph </t>
  </si>
  <si>
    <t>Responsive</t>
  </si>
  <si>
    <t>Adaptation de la grille et des sections en mobile</t>
  </si>
  <si>
    <t>URL</t>
  </si>
  <si>
    <t>Slug normalise pour chaque article</t>
  </si>
  <si>
    <t>SEO</t>
  </si>
  <si>
    <t>Canonical calcul dynamiquement selon la page, OG type website/article selon context liste/detail</t>
  </si>
  <si>
    <t>htaccess</t>
  </si>
  <si>
    <t xml:space="preserve">Normalisation des chemins images </t>
  </si>
  <si>
    <t>Recherche</t>
  </si>
  <si>
    <t xml:space="preserve">Affiner la pertinance des resultats </t>
  </si>
  <si>
    <t xml:space="preserve">Badge image expire si date_cache depasse </t>
  </si>
  <si>
    <t>Cache</t>
  </si>
  <si>
    <t xml:space="preserve">gestion cache image </t>
  </si>
  <si>
    <t>Performance</t>
  </si>
  <si>
    <t xml:space="preserve">Mettre en cache les requetes frequentes cote serveur </t>
  </si>
  <si>
    <t>Ajouter page/listing dedie par source</t>
  </si>
  <si>
    <t>Accessibilite</t>
  </si>
  <si>
    <t>Ajouter labels/roles ARIA et verifier navigation clavier</t>
  </si>
  <si>
    <t>Test</t>
  </si>
  <si>
    <t>Test back et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</si>
</sst>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b/>
      <sz val="11"/>
      <color theme="1"/>
      <name val="Liberation Serif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sz val="11"/>
      <color rgb="FF000000"/>
      <name val="Calibri"/>
    </font>
    <font>
      <sz val="12"/>
      <color theme="1"/>
      <name val="Aptos Narrow"/>
    </font>
    <font>
      <b/>
      <sz val="12"/>
      <color theme="1"/>
      <name val="Arial"/>
      <scheme val="minor"/>
    </font>
    <font>
      <sz val="8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1" fillId="0" borderId="0" xfId="0" applyFont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0" fillId="0" borderId="0" xfId="0" applyFont="1"/>
    <xf numFmtId="0" fontId="13" fillId="0" borderId="0" xfId="0" applyFont="1"/>
    <xf numFmtId="0" fontId="14" fillId="0" borderId="0" xfId="0" applyFont="1"/>
    <xf numFmtId="49" fontId="13" fillId="0" borderId="0" xfId="0" applyNumberFormat="1" applyFont="1"/>
    <xf numFmtId="49" fontId="14" fillId="0" borderId="0" xfId="0" applyNumberFormat="1" applyFont="1"/>
  </cellXfs>
  <cellStyles count="1">
    <cellStyle name="Normal" xfId="0" builtinId="0"/>
  </cellStyles>
  <dxfs count="2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Groupe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Todo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Details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Recapitulation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Avancement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oupe" displayName="Groupe" ref="A1:B3">
  <tableColumns count="2">
    <tableColumn id="1" xr3:uid="{00000000-0010-0000-0000-000001000000}" name="ETU"/>
    <tableColumn id="2" xr3:uid="{00000000-0010-0000-0000-000002000000}" name="Prenom"/>
  </tableColumns>
  <tableStyleInfo name="Group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DO" displayName="TODO" ref="A1:J49">
  <tableColumns count="10">
    <tableColumn id="1" xr3:uid="{00000000-0010-0000-0100-000001000000}" name="-"/>
    <tableColumn id="2" xr3:uid="{00000000-0010-0000-0100-000002000000}" name="Module"/>
    <tableColumn id="3" xr3:uid="{00000000-0010-0000-0100-000003000000}" name="Pages"/>
    <tableColumn id="4" xr3:uid="{00000000-0010-0000-0100-000004000000}" name="Taches"/>
    <tableColumn id="5" xr3:uid="{00000000-0010-0000-0100-000005000000}" name="Type"/>
    <tableColumn id="6" xr3:uid="{00000000-0010-0000-0100-000006000000}" name="Qui"/>
    <tableColumn id="7" xr3:uid="{00000000-0010-0000-0100-000007000000}" name="Estimation"/>
    <tableColumn id="8" xr3:uid="{00000000-0010-0000-0100-000008000000}" name="Temps passes"/>
    <tableColumn id="9" xr3:uid="{00000000-0010-0000-0100-000009000000}" name="Reste a faire">
      <calculatedColumnFormula>TODO[[#This Row],[Estimation]]-TODO[[#This Row],[Temps passes]]</calculatedColumnFormula>
    </tableColumn>
    <tableColumn id="10" xr3:uid="{00000000-0010-0000-0100-00000A000000}" name="Avancement"/>
  </tableColumns>
  <tableStyleInfo name="Tod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apitulation" displayName="Recapitulation" ref="A1:D3">
  <tableColumns count="4">
    <tableColumn id="1" xr3:uid="{00000000-0010-0000-0300-000001000000}" name="Qui"/>
    <tableColumn id="2" xr3:uid="{00000000-0010-0000-0300-000002000000}" name="Estimation"/>
    <tableColumn id="3" xr3:uid="{00000000-0010-0000-0300-000003000000}" name="Temps passer"/>
    <tableColumn id="4" xr3:uid="{00000000-0010-0000-0300-000004000000}" name="Avancement"/>
  </tableColumns>
  <tableStyleInfo name="Recapitulatio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vancement" displayName="Avancement" ref="A1:E2">
  <tableColumns count="5">
    <tableColumn id="1" xr3:uid="{00000000-0010-0000-0400-000001000000}" name="Estimation Total"/>
    <tableColumn id="2" xr3:uid="{00000000-0010-0000-0400-000002000000}" name="Temps passer Total"/>
    <tableColumn id="3" xr3:uid="{00000000-0010-0000-0400-000003000000}" name="Reste a faire Total"/>
    <tableColumn id="4" xr3:uid="{00000000-0010-0000-0400-000004000000}" name="Avancement"/>
    <tableColumn id="5" xr3:uid="{00000000-0010-0000-0400-000005000000}" name="Depassement"/>
  </tableColumns>
  <tableStyleInfo name="Avanceme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2.6640625" customWidth="1"/>
    <col min="2" max="2" width="11.6640625" customWidth="1"/>
    <col min="3" max="6" width="12.664062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2" t="s">
        <v>33</v>
      </c>
      <c r="B2" s="2" t="s">
        <v>34</v>
      </c>
    </row>
    <row r="3" spans="1:2" ht="15.75" customHeight="1">
      <c r="A3" s="2" t="s">
        <v>32</v>
      </c>
      <c r="B3" s="2" t="s">
        <v>35</v>
      </c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811"/>
  <sheetViews>
    <sheetView topLeftCell="E1" workbookViewId="0">
      <pane ySplit="1" topLeftCell="A21" activePane="bottomLeft" state="frozen"/>
      <selection pane="bottomLeft" activeCell="H47" sqref="H47"/>
    </sheetView>
  </sheetViews>
  <sheetFormatPr baseColWidth="10" defaultColWidth="12.6640625" defaultRowHeight="15" customHeight="1"/>
  <cols>
    <col min="1" max="1" width="25.109375" customWidth="1"/>
    <col min="2" max="2" width="24.6640625" customWidth="1"/>
    <col min="3" max="3" width="33.6640625" customWidth="1"/>
    <col min="4" max="4" width="82" customWidth="1"/>
    <col min="5" max="5" width="20.6640625" customWidth="1"/>
    <col min="6" max="6" width="30" customWidth="1"/>
    <col min="7" max="7" width="13.6640625" customWidth="1"/>
    <col min="8" max="8" width="17.33203125" customWidth="1"/>
    <col min="9" max="10" width="14.77734375" customWidth="1"/>
  </cols>
  <sheetData>
    <row r="1" spans="1:24" ht="15.75" customHeight="1">
      <c r="A1" s="3" t="s">
        <v>2</v>
      </c>
      <c r="B1" s="3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6" t="s">
        <v>9</v>
      </c>
      <c r="I1" s="7" t="s">
        <v>10</v>
      </c>
      <c r="J1" s="7" t="s">
        <v>11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75" customHeight="1">
      <c r="A2" s="9" t="s">
        <v>12</v>
      </c>
      <c r="B2" s="9" t="s">
        <v>40</v>
      </c>
      <c r="C2" s="9" t="s">
        <v>40</v>
      </c>
      <c r="D2" s="10" t="s">
        <v>37</v>
      </c>
      <c r="E2" s="11" t="s">
        <v>13</v>
      </c>
      <c r="F2" s="9" t="s">
        <v>33</v>
      </c>
      <c r="G2" s="12">
        <v>5</v>
      </c>
      <c r="H2" s="9">
        <v>5</v>
      </c>
      <c r="I2" s="12">
        <f>TODO[[#This Row],[Estimation]]-TODO[[#This Row],[Temps passes]]</f>
        <v>0</v>
      </c>
      <c r="J2" s="12">
        <f t="shared" ref="J2:J4" si="0">(H2/(H2+I2))*100</f>
        <v>100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5.75" customHeight="1">
      <c r="A3" s="9" t="s">
        <v>12</v>
      </c>
      <c r="B3" s="9" t="s">
        <v>40</v>
      </c>
      <c r="C3" s="9" t="s">
        <v>40</v>
      </c>
      <c r="D3" s="10" t="s">
        <v>36</v>
      </c>
      <c r="E3" s="9" t="s">
        <v>13</v>
      </c>
      <c r="F3" s="9" t="s">
        <v>33</v>
      </c>
      <c r="G3" s="9">
        <v>15</v>
      </c>
      <c r="H3" s="9">
        <v>15</v>
      </c>
      <c r="I3" s="12">
        <f>TODO[[#This Row],[Estimation]]-TODO[[#This Row],[Temps passes]]</f>
        <v>0</v>
      </c>
      <c r="J3" s="12">
        <f t="shared" si="0"/>
        <v>100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5.75" customHeight="1">
      <c r="A4" s="9" t="s">
        <v>12</v>
      </c>
      <c r="B4" s="9" t="s">
        <v>40</v>
      </c>
      <c r="C4" s="9" t="s">
        <v>40</v>
      </c>
      <c r="D4" s="10" t="s">
        <v>38</v>
      </c>
      <c r="E4" s="9" t="s">
        <v>13</v>
      </c>
      <c r="F4" s="9" t="s">
        <v>33</v>
      </c>
      <c r="G4" s="9">
        <v>10</v>
      </c>
      <c r="H4" s="9">
        <v>10</v>
      </c>
      <c r="I4" s="12">
        <f>TODO[[#This Row],[Estimation]]-TODO[[#This Row],[Temps passes]]</f>
        <v>0</v>
      </c>
      <c r="J4" s="11">
        <f t="shared" si="0"/>
        <v>100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.75" customHeight="1">
      <c r="A5" s="9" t="s">
        <v>12</v>
      </c>
      <c r="B5" s="9" t="s">
        <v>40</v>
      </c>
      <c r="C5" s="9" t="s">
        <v>40</v>
      </c>
      <c r="D5" s="10" t="s">
        <v>39</v>
      </c>
      <c r="E5" s="9" t="s">
        <v>42</v>
      </c>
      <c r="F5" s="9" t="s">
        <v>33</v>
      </c>
      <c r="G5" s="9">
        <v>30</v>
      </c>
      <c r="H5" s="9">
        <v>30</v>
      </c>
      <c r="I5" s="12">
        <f>TODO[[#This Row],[Estimation]]-TODO[[#This Row],[Temps passes]]</f>
        <v>0</v>
      </c>
      <c r="J5" s="11">
        <f>(H5/(H5+I5))*100</f>
        <v>100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.75" customHeight="1">
      <c r="A6" s="9" t="s">
        <v>12</v>
      </c>
      <c r="B6" s="9" t="s">
        <v>40</v>
      </c>
      <c r="C6" s="9" t="s">
        <v>40</v>
      </c>
      <c r="D6" s="10" t="s">
        <v>41</v>
      </c>
      <c r="E6" s="9" t="s">
        <v>42</v>
      </c>
      <c r="F6" s="9" t="s">
        <v>33</v>
      </c>
      <c r="G6" s="9">
        <v>5</v>
      </c>
      <c r="H6" s="9">
        <v>5</v>
      </c>
      <c r="I6" s="12">
        <f>TODO[[#This Row],[Estimation]]-TODO[[#This Row],[Temps passes]]</f>
        <v>0</v>
      </c>
      <c r="J6" s="11">
        <v>100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.75" customHeight="1">
      <c r="A7" s="9" t="s">
        <v>14</v>
      </c>
      <c r="B7" s="9" t="s">
        <v>42</v>
      </c>
      <c r="C7" s="11" t="s">
        <v>40</v>
      </c>
      <c r="D7" s="10" t="s">
        <v>43</v>
      </c>
      <c r="E7" s="9" t="s">
        <v>16</v>
      </c>
      <c r="F7" s="9" t="s">
        <v>33</v>
      </c>
      <c r="G7" s="9">
        <v>5</v>
      </c>
      <c r="H7" s="9">
        <v>5</v>
      </c>
      <c r="I7" s="12">
        <f>TODO[[#This Row],[Estimation]]-TODO[[#This Row],[Temps passes]]</f>
        <v>0</v>
      </c>
      <c r="J7" s="11">
        <f>(H7/(H7+I7))*100</f>
        <v>100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75" customHeight="1">
      <c r="A8" s="9" t="s">
        <v>14</v>
      </c>
      <c r="B8" s="9" t="s">
        <v>44</v>
      </c>
      <c r="C8" s="11" t="s">
        <v>46</v>
      </c>
      <c r="D8" s="10" t="s">
        <v>45</v>
      </c>
      <c r="E8" s="9" t="s">
        <v>16</v>
      </c>
      <c r="F8" s="9" t="s">
        <v>33</v>
      </c>
      <c r="G8" s="9">
        <v>10</v>
      </c>
      <c r="H8" s="9">
        <v>10</v>
      </c>
      <c r="I8" s="12">
        <f>TODO[[#This Row],[Estimation]]-TODO[[#This Row],[Temps passes]]</f>
        <v>0</v>
      </c>
      <c r="J8" s="11">
        <f>(H8/(H8+I8))*100</f>
        <v>100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5.75" customHeight="1">
      <c r="A9" s="9" t="s">
        <v>14</v>
      </c>
      <c r="B9" s="9" t="s">
        <v>47</v>
      </c>
      <c r="C9" s="11"/>
      <c r="D9" s="10" t="s">
        <v>48</v>
      </c>
      <c r="E9" s="9" t="s">
        <v>16</v>
      </c>
      <c r="F9" s="9" t="s">
        <v>33</v>
      </c>
      <c r="G9" s="9">
        <v>10</v>
      </c>
      <c r="H9" s="9">
        <v>10</v>
      </c>
      <c r="I9" s="12">
        <f>TODO[[#This Row],[Estimation]]-TODO[[#This Row],[Temps passes]]</f>
        <v>0</v>
      </c>
      <c r="J9" s="11">
        <f>(H9/(H9+I9))*100</f>
        <v>100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.75" customHeight="1">
      <c r="A10" s="9" t="s">
        <v>14</v>
      </c>
      <c r="B10" s="9" t="s">
        <v>47</v>
      </c>
      <c r="C10" s="11" t="s">
        <v>15</v>
      </c>
      <c r="D10" s="10" t="s">
        <v>49</v>
      </c>
      <c r="E10" s="9" t="s">
        <v>17</v>
      </c>
      <c r="F10" s="9" t="s">
        <v>33</v>
      </c>
      <c r="G10" s="9">
        <v>10</v>
      </c>
      <c r="H10" s="9">
        <v>10</v>
      </c>
      <c r="I10" s="12">
        <f>TODO[[#This Row],[Estimation]]-TODO[[#This Row],[Temps passes]]</f>
        <v>0</v>
      </c>
      <c r="J10" s="11">
        <f>(H10/(H10+I10))*100</f>
        <v>100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5.75" customHeight="1">
      <c r="A11" s="9" t="s">
        <v>14</v>
      </c>
      <c r="B11" s="9" t="s">
        <v>50</v>
      </c>
      <c r="C11" s="11" t="s">
        <v>20</v>
      </c>
      <c r="D11" s="10" t="s">
        <v>51</v>
      </c>
      <c r="E11" s="9" t="s">
        <v>17</v>
      </c>
      <c r="F11" s="9" t="s">
        <v>33</v>
      </c>
      <c r="G11" s="9">
        <v>15</v>
      </c>
      <c r="H11" s="9">
        <v>15</v>
      </c>
      <c r="I11" s="12">
        <f>TODO[[#This Row],[Estimation]]-TODO[[#This Row],[Temps passes]]</f>
        <v>0</v>
      </c>
      <c r="J11" s="11">
        <f>(H11/(H11+I11))*100</f>
        <v>100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5.75" customHeight="1">
      <c r="A12" s="9" t="s">
        <v>14</v>
      </c>
      <c r="B12" s="9" t="s">
        <v>18</v>
      </c>
      <c r="C12" s="11" t="s">
        <v>52</v>
      </c>
      <c r="D12" s="10" t="s">
        <v>53</v>
      </c>
      <c r="E12" s="9" t="s">
        <v>16</v>
      </c>
      <c r="F12" s="9" t="s">
        <v>33</v>
      </c>
      <c r="G12" s="9">
        <v>15</v>
      </c>
      <c r="H12" s="9">
        <v>15</v>
      </c>
      <c r="I12" s="12">
        <f>TODO[[#This Row],[Estimation]]-TODO[[#This Row],[Temps passes]]</f>
        <v>0</v>
      </c>
      <c r="J12" s="11">
        <f>(H12/(H12+I12))*100</f>
        <v>100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5.75" customHeight="1">
      <c r="A13" s="9" t="s">
        <v>14</v>
      </c>
      <c r="B13" s="9" t="s">
        <v>18</v>
      </c>
      <c r="C13" s="11" t="s">
        <v>52</v>
      </c>
      <c r="D13" s="10" t="s">
        <v>54</v>
      </c>
      <c r="E13" s="9" t="s">
        <v>17</v>
      </c>
      <c r="F13" s="9" t="s">
        <v>33</v>
      </c>
      <c r="G13" s="9">
        <v>10</v>
      </c>
      <c r="H13" s="9">
        <v>10</v>
      </c>
      <c r="I13" s="12">
        <f>TODO[[#This Row],[Estimation]]-TODO[[#This Row],[Temps passes]]</f>
        <v>0</v>
      </c>
      <c r="J13" s="11">
        <f>(H13/(H13+I13))*100</f>
        <v>100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5.75" customHeight="1">
      <c r="A14" s="9" t="s">
        <v>14</v>
      </c>
      <c r="B14" s="9" t="s">
        <v>18</v>
      </c>
      <c r="C14" s="11" t="s">
        <v>52</v>
      </c>
      <c r="D14" s="10" t="s">
        <v>55</v>
      </c>
      <c r="E14" s="9" t="s">
        <v>16</v>
      </c>
      <c r="F14" s="9" t="s">
        <v>33</v>
      </c>
      <c r="G14" s="9">
        <v>20</v>
      </c>
      <c r="H14" s="9">
        <v>20</v>
      </c>
      <c r="I14" s="12">
        <f>TODO[[#This Row],[Estimation]]-TODO[[#This Row],[Temps passes]]</f>
        <v>0</v>
      </c>
      <c r="J14" s="11">
        <f>(H14/(H14+I14))*100</f>
        <v>100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5.75" customHeight="1">
      <c r="A15" s="9" t="s">
        <v>56</v>
      </c>
      <c r="B15" s="9" t="s">
        <v>18</v>
      </c>
      <c r="C15" s="11" t="s">
        <v>52</v>
      </c>
      <c r="D15" s="10" t="s">
        <v>57</v>
      </c>
      <c r="E15" s="9" t="s">
        <v>16</v>
      </c>
      <c r="F15" s="9" t="s">
        <v>33</v>
      </c>
      <c r="G15" s="9">
        <v>35</v>
      </c>
      <c r="H15" s="9">
        <v>35</v>
      </c>
      <c r="I15" s="12">
        <f>TODO[[#This Row],[Estimation]]-TODO[[#This Row],[Temps passes]]</f>
        <v>0</v>
      </c>
      <c r="J15" s="11">
        <f>(H15/(H15+I15))*100</f>
        <v>100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5.75" customHeight="1">
      <c r="A16" s="9" t="s">
        <v>14</v>
      </c>
      <c r="B16" s="9" t="s">
        <v>18</v>
      </c>
      <c r="C16" s="11" t="s">
        <v>52</v>
      </c>
      <c r="D16" s="10" t="s">
        <v>58</v>
      </c>
      <c r="E16" s="9" t="s">
        <v>16</v>
      </c>
      <c r="F16" s="9" t="s">
        <v>33</v>
      </c>
      <c r="G16" s="9">
        <v>15</v>
      </c>
      <c r="H16" s="9">
        <v>15</v>
      </c>
      <c r="I16" s="12">
        <f>TODO[[#This Row],[Estimation]]-TODO[[#This Row],[Temps passes]]</f>
        <v>0</v>
      </c>
      <c r="J16" s="11">
        <f>(H16/(H16+I16))*100</f>
        <v>100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5.75" customHeight="1">
      <c r="A17" s="9" t="s">
        <v>14</v>
      </c>
      <c r="B17" s="9" t="s">
        <v>18</v>
      </c>
      <c r="C17" s="11"/>
      <c r="D17" s="10" t="s">
        <v>60</v>
      </c>
      <c r="E17" s="9" t="s">
        <v>16</v>
      </c>
      <c r="F17" s="9" t="s">
        <v>33</v>
      </c>
      <c r="G17" s="9">
        <v>5</v>
      </c>
      <c r="H17" s="9">
        <v>5</v>
      </c>
      <c r="I17" s="12">
        <f>TODO[[#This Row],[Estimation]]-TODO[[#This Row],[Temps passes]]</f>
        <v>0</v>
      </c>
      <c r="J17" s="11">
        <f>(H17/(H17+I17))*100</f>
        <v>100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5.75" customHeight="1">
      <c r="A18" s="9" t="s">
        <v>14</v>
      </c>
      <c r="B18" s="9" t="s">
        <v>18</v>
      </c>
      <c r="C18" s="11" t="s">
        <v>52</v>
      </c>
      <c r="D18" s="10" t="s">
        <v>59</v>
      </c>
      <c r="E18" s="9" t="s">
        <v>17</v>
      </c>
      <c r="F18" s="9" t="s">
        <v>33</v>
      </c>
      <c r="G18" s="9">
        <v>15</v>
      </c>
      <c r="H18" s="9">
        <v>15</v>
      </c>
      <c r="I18" s="12">
        <f>TODO[[#This Row],[Estimation]]-TODO[[#This Row],[Temps passes]]</f>
        <v>0</v>
      </c>
      <c r="J18" s="11">
        <f>(H18/(H18+I18))*100</f>
        <v>100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5.75" customHeight="1">
      <c r="A19" s="9" t="s">
        <v>61</v>
      </c>
      <c r="B19" s="9" t="s">
        <v>62</v>
      </c>
      <c r="C19" s="11" t="s">
        <v>63</v>
      </c>
      <c r="D19" s="10" t="s">
        <v>64</v>
      </c>
      <c r="E19" s="9" t="s">
        <v>16</v>
      </c>
      <c r="F19" s="9" t="s">
        <v>33</v>
      </c>
      <c r="G19" s="9">
        <v>20</v>
      </c>
      <c r="H19" s="9">
        <v>20</v>
      </c>
      <c r="I19" s="12">
        <f>TODO[[#This Row],[Estimation]]-TODO[[#This Row],[Temps passes]]</f>
        <v>0</v>
      </c>
      <c r="J19" s="1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customHeight="1">
      <c r="A20" s="9" t="s">
        <v>61</v>
      </c>
      <c r="B20" s="9" t="s">
        <v>18</v>
      </c>
      <c r="C20" s="11" t="s">
        <v>63</v>
      </c>
      <c r="D20" s="10" t="s">
        <v>65</v>
      </c>
      <c r="E20" s="9" t="s">
        <v>17</v>
      </c>
      <c r="F20" s="9" t="s">
        <v>33</v>
      </c>
      <c r="G20" s="9">
        <v>10</v>
      </c>
      <c r="H20" s="9">
        <v>10</v>
      </c>
      <c r="I20" s="12">
        <f>TODO[[#This Row],[Estimation]]-TODO[[#This Row],[Temps passes]]</f>
        <v>0</v>
      </c>
      <c r="J20" s="1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customHeight="1">
      <c r="A21" s="9" t="s">
        <v>14</v>
      </c>
      <c r="B21" s="9" t="s">
        <v>18</v>
      </c>
      <c r="C21" s="11" t="s">
        <v>66</v>
      </c>
      <c r="D21" s="10" t="s">
        <v>67</v>
      </c>
      <c r="E21" s="9" t="s">
        <v>16</v>
      </c>
      <c r="F21" s="9" t="s">
        <v>33</v>
      </c>
      <c r="G21" s="9">
        <v>15</v>
      </c>
      <c r="H21" s="9">
        <v>15</v>
      </c>
      <c r="I21" s="12">
        <f>TODO[[#This Row],[Estimation]]-TODO[[#This Row],[Temps passes]]</f>
        <v>0</v>
      </c>
      <c r="J21" s="1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customHeight="1">
      <c r="A22" s="9" t="s">
        <v>14</v>
      </c>
      <c r="B22" s="9" t="s">
        <v>18</v>
      </c>
      <c r="C22" s="11" t="s">
        <v>68</v>
      </c>
      <c r="D22" s="10" t="s">
        <v>69</v>
      </c>
      <c r="E22" s="9" t="s">
        <v>17</v>
      </c>
      <c r="F22" s="9" t="s">
        <v>33</v>
      </c>
      <c r="G22" s="9">
        <v>5</v>
      </c>
      <c r="H22" s="9">
        <v>5</v>
      </c>
      <c r="I22" s="12">
        <f>TODO[[#This Row],[Estimation]]-TODO[[#This Row],[Temps passes]]</f>
        <v>0</v>
      </c>
      <c r="J22" s="1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customHeight="1">
      <c r="A23" s="9" t="s">
        <v>14</v>
      </c>
      <c r="B23" s="9" t="s">
        <v>70</v>
      </c>
      <c r="C23" s="11"/>
      <c r="D23" s="10" t="s">
        <v>71</v>
      </c>
      <c r="E23" s="9" t="s">
        <v>72</v>
      </c>
      <c r="F23" s="9" t="s">
        <v>33</v>
      </c>
      <c r="G23" s="9">
        <v>15</v>
      </c>
      <c r="H23" s="9">
        <v>15</v>
      </c>
      <c r="I23" s="12">
        <f>TODO[[#This Row],[Estimation]]-TODO[[#This Row],[Temps passes]]</f>
        <v>0</v>
      </c>
      <c r="J23" s="1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>
      <c r="A24" s="9" t="s">
        <v>14</v>
      </c>
      <c r="B24" s="9" t="s">
        <v>70</v>
      </c>
      <c r="C24" s="11" t="s">
        <v>73</v>
      </c>
      <c r="D24" s="10" t="s">
        <v>74</v>
      </c>
      <c r="E24" s="9" t="s">
        <v>17</v>
      </c>
      <c r="F24" s="9" t="s">
        <v>33</v>
      </c>
      <c r="G24" s="9">
        <v>15</v>
      </c>
      <c r="H24" s="9">
        <v>15</v>
      </c>
      <c r="I24" s="12">
        <f>TODO[[#This Row],[Estimation]]-TODO[[#This Row],[Temps passes]]</f>
        <v>0</v>
      </c>
      <c r="J24" s="1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>
      <c r="A25" s="9" t="s">
        <v>14</v>
      </c>
      <c r="B25" s="9" t="s">
        <v>70</v>
      </c>
      <c r="C25" s="11" t="s">
        <v>75</v>
      </c>
      <c r="D25" s="10" t="s">
        <v>76</v>
      </c>
      <c r="E25" s="9" t="s">
        <v>17</v>
      </c>
      <c r="F25" s="9" t="s">
        <v>33</v>
      </c>
      <c r="G25" s="9">
        <v>5</v>
      </c>
      <c r="H25" s="9">
        <v>5</v>
      </c>
      <c r="I25" s="12">
        <f>TODO[[#This Row],[Estimation]]-TODO[[#This Row],[Temps passes]]</f>
        <v>0</v>
      </c>
      <c r="J25" s="1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>
      <c r="A26" s="9" t="s">
        <v>14</v>
      </c>
      <c r="B26" s="9" t="s">
        <v>77</v>
      </c>
      <c r="C26" s="11"/>
      <c r="D26" s="10" t="s">
        <v>71</v>
      </c>
      <c r="E26" s="9" t="s">
        <v>16</v>
      </c>
      <c r="F26" s="9" t="s">
        <v>33</v>
      </c>
      <c r="G26" s="9">
        <v>15</v>
      </c>
      <c r="H26" s="9">
        <v>15</v>
      </c>
      <c r="I26" s="12">
        <f>TODO[[#This Row],[Estimation]]-TODO[[#This Row],[Temps passes]]</f>
        <v>0</v>
      </c>
      <c r="J26" s="1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>
      <c r="A27" s="9" t="s">
        <v>14</v>
      </c>
      <c r="B27" s="9" t="s">
        <v>77</v>
      </c>
      <c r="C27" s="11" t="s">
        <v>78</v>
      </c>
      <c r="D27" s="10" t="s">
        <v>74</v>
      </c>
      <c r="E27" s="9" t="s">
        <v>17</v>
      </c>
      <c r="F27" s="9" t="s">
        <v>33</v>
      </c>
      <c r="G27" s="9">
        <v>5</v>
      </c>
      <c r="H27" s="9">
        <v>5</v>
      </c>
      <c r="I27" s="12">
        <f>TODO[[#This Row],[Estimation]]-TODO[[#This Row],[Temps passes]]</f>
        <v>0</v>
      </c>
      <c r="J27" s="1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customHeight="1">
      <c r="A28" s="9" t="s">
        <v>14</v>
      </c>
      <c r="B28" s="9" t="s">
        <v>77</v>
      </c>
      <c r="C28" s="11" t="s">
        <v>79</v>
      </c>
      <c r="D28" s="10" t="s">
        <v>76</v>
      </c>
      <c r="E28" s="9" t="s">
        <v>17</v>
      </c>
      <c r="F28" s="9" t="s">
        <v>33</v>
      </c>
      <c r="G28" s="9">
        <v>5</v>
      </c>
      <c r="H28" s="9">
        <v>5</v>
      </c>
      <c r="I28" s="12">
        <f>TODO[[#This Row],[Estimation]]-TODO[[#This Row],[Temps passes]]</f>
        <v>0</v>
      </c>
      <c r="J28" s="1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customHeight="1">
      <c r="A29" s="21" t="s">
        <v>19</v>
      </c>
      <c r="B29" s="22" t="s">
        <v>80</v>
      </c>
      <c r="C29" s="22" t="s">
        <v>81</v>
      </c>
      <c r="D29" s="23" t="s">
        <v>82</v>
      </c>
      <c r="E29" s="21" t="s">
        <v>17</v>
      </c>
      <c r="F29" s="22" t="s">
        <v>32</v>
      </c>
      <c r="G29" s="14">
        <v>10</v>
      </c>
      <c r="H29" s="9">
        <v>10</v>
      </c>
      <c r="I29" s="12">
        <f>TODO[[#This Row],[Estimation]]-TODO[[#This Row],[Temps passes]]</f>
        <v>0</v>
      </c>
      <c r="J29" s="11">
        <f>(H29/(H29+I29))*100</f>
        <v>100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customHeight="1">
      <c r="A30" s="21" t="s">
        <v>19</v>
      </c>
      <c r="B30" s="22" t="s">
        <v>80</v>
      </c>
      <c r="C30" s="22" t="s">
        <v>83</v>
      </c>
      <c r="D30" s="24" t="s">
        <v>84</v>
      </c>
      <c r="E30" s="13" t="s">
        <v>16</v>
      </c>
      <c r="F30" s="13" t="s">
        <v>32</v>
      </c>
      <c r="G30" s="14">
        <v>5</v>
      </c>
      <c r="H30" s="9">
        <v>5</v>
      </c>
      <c r="I30" s="12">
        <f>TODO[[#This Row],[Estimation]]-TODO[[#This Row],[Temps passes]]</f>
        <v>0</v>
      </c>
      <c r="J30" s="11">
        <f>(H30/(H30+I30))*100</f>
        <v>100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customHeight="1">
      <c r="A31" s="21" t="s">
        <v>19</v>
      </c>
      <c r="B31" s="22" t="s">
        <v>85</v>
      </c>
      <c r="C31" s="22" t="s">
        <v>81</v>
      </c>
      <c r="D31" s="24" t="s">
        <v>86</v>
      </c>
      <c r="E31" s="13" t="s">
        <v>17</v>
      </c>
      <c r="F31" s="13" t="s">
        <v>32</v>
      </c>
      <c r="G31" s="14">
        <v>5</v>
      </c>
      <c r="H31" s="9">
        <v>5</v>
      </c>
      <c r="I31" s="12">
        <f>TODO[[#This Row],[Estimation]]-TODO[[#This Row],[Temps passes]]</f>
        <v>0</v>
      </c>
      <c r="J31" s="11">
        <f>(H31/(H31+I31))*100</f>
        <v>100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customHeight="1">
      <c r="A32" s="21" t="s">
        <v>19</v>
      </c>
      <c r="B32" s="22" t="s">
        <v>85</v>
      </c>
      <c r="C32" s="22" t="s">
        <v>83</v>
      </c>
      <c r="D32" s="24" t="s">
        <v>87</v>
      </c>
      <c r="E32" s="13" t="s">
        <v>17</v>
      </c>
      <c r="F32" s="13" t="s">
        <v>32</v>
      </c>
      <c r="G32" s="14">
        <v>5</v>
      </c>
      <c r="H32" s="9">
        <v>5</v>
      </c>
      <c r="I32" s="12">
        <f>TODO[[#This Row],[Estimation]]-TODO[[#This Row],[Temps passes]]</f>
        <v>0</v>
      </c>
      <c r="J32" s="11">
        <f>(H32/(H32+I32))*100</f>
        <v>100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customHeight="1">
      <c r="A33" s="21" t="s">
        <v>19</v>
      </c>
      <c r="B33" s="13" t="s">
        <v>18</v>
      </c>
      <c r="C33" s="22" t="s">
        <v>83</v>
      </c>
      <c r="D33" s="24" t="s">
        <v>88</v>
      </c>
      <c r="E33" s="13" t="s">
        <v>17</v>
      </c>
      <c r="F33" s="13" t="s">
        <v>32</v>
      </c>
      <c r="G33" s="14">
        <v>10</v>
      </c>
      <c r="H33" s="9">
        <v>10</v>
      </c>
      <c r="I33" s="12">
        <f>TODO[[#This Row],[Estimation]]-TODO[[#This Row],[Temps passes]]</f>
        <v>0</v>
      </c>
      <c r="J33" s="11">
        <f>(H33/(H33+I33))*100</f>
        <v>100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customHeight="1">
      <c r="A34" s="21" t="s">
        <v>19</v>
      </c>
      <c r="B34" s="13" t="s">
        <v>18</v>
      </c>
      <c r="C34" s="22" t="s">
        <v>83</v>
      </c>
      <c r="D34" s="24" t="s">
        <v>89</v>
      </c>
      <c r="E34" s="13" t="s">
        <v>23</v>
      </c>
      <c r="F34" s="13" t="s">
        <v>32</v>
      </c>
      <c r="G34" s="14">
        <v>15</v>
      </c>
      <c r="H34" s="9">
        <v>15</v>
      </c>
      <c r="I34" s="12">
        <f>TODO[[#This Row],[Estimation]]-TODO[[#This Row],[Temps passes]]</f>
        <v>0</v>
      </c>
      <c r="J34" s="11">
        <f>(H34/(H34+I34))*100</f>
        <v>100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customHeight="1">
      <c r="A35" s="21" t="s">
        <v>19</v>
      </c>
      <c r="B35" s="13" t="s">
        <v>21</v>
      </c>
      <c r="C35" s="22" t="s">
        <v>83</v>
      </c>
      <c r="D35" s="24" t="s">
        <v>90</v>
      </c>
      <c r="E35" s="13" t="s">
        <v>16</v>
      </c>
      <c r="F35" s="13" t="s">
        <v>32</v>
      </c>
      <c r="G35" s="14">
        <v>10</v>
      </c>
      <c r="H35" s="9">
        <v>10</v>
      </c>
      <c r="I35" s="12">
        <f>TODO[[#This Row],[Estimation]]-TODO[[#This Row],[Temps passes]]</f>
        <v>0</v>
      </c>
      <c r="J35" s="11">
        <f>(H35/(H35+I35))*100</f>
        <v>100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customHeight="1">
      <c r="A36" s="21" t="s">
        <v>19</v>
      </c>
      <c r="B36" s="13" t="s">
        <v>21</v>
      </c>
      <c r="C36" s="22" t="s">
        <v>83</v>
      </c>
      <c r="D36" s="24" t="s">
        <v>91</v>
      </c>
      <c r="E36" s="13" t="s">
        <v>23</v>
      </c>
      <c r="F36" s="13" t="s">
        <v>32</v>
      </c>
      <c r="G36" s="14">
        <v>15</v>
      </c>
      <c r="H36" s="9">
        <v>15</v>
      </c>
      <c r="I36" s="12">
        <f>TODO[[#This Row],[Estimation]]-TODO[[#This Row],[Temps passes]]</f>
        <v>0</v>
      </c>
      <c r="J36" s="11">
        <f>(H36/(H36+I36))*100</f>
        <v>100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customHeight="1">
      <c r="A37" s="21" t="s">
        <v>19</v>
      </c>
      <c r="B37" s="22" t="s">
        <v>92</v>
      </c>
      <c r="C37" s="22" t="s">
        <v>83</v>
      </c>
      <c r="D37" s="24" t="s">
        <v>93</v>
      </c>
      <c r="E37" s="13" t="s">
        <v>23</v>
      </c>
      <c r="F37" s="13" t="s">
        <v>32</v>
      </c>
      <c r="G37" s="14">
        <v>5</v>
      </c>
      <c r="H37" s="9">
        <v>5</v>
      </c>
      <c r="I37" s="12">
        <f>TODO[[#This Row],[Estimation]]-TODO[[#This Row],[Temps passes]]</f>
        <v>0</v>
      </c>
      <c r="J37" s="11">
        <f>(H37/(H37+I37))*100</f>
        <v>100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customHeight="1">
      <c r="A38" s="21" t="s">
        <v>19</v>
      </c>
      <c r="B38" s="22" t="s">
        <v>94</v>
      </c>
      <c r="C38" s="22" t="s">
        <v>95</v>
      </c>
      <c r="D38" s="24" t="s">
        <v>96</v>
      </c>
      <c r="E38" s="13" t="s">
        <v>23</v>
      </c>
      <c r="F38" s="13" t="s">
        <v>32</v>
      </c>
      <c r="G38" s="14">
        <v>15</v>
      </c>
      <c r="H38" s="9">
        <v>15</v>
      </c>
      <c r="I38" s="12">
        <f>TODO[[#This Row],[Estimation]]-TODO[[#This Row],[Temps passes]]</f>
        <v>0</v>
      </c>
      <c r="J38" s="11">
        <f>(H38/(H38+I38))*100</f>
        <v>100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75" customHeight="1">
      <c r="A39" s="21" t="s">
        <v>19</v>
      </c>
      <c r="B39" s="22" t="s">
        <v>97</v>
      </c>
      <c r="C39" s="22" t="s">
        <v>22</v>
      </c>
      <c r="D39" s="24" t="s">
        <v>98</v>
      </c>
      <c r="E39" s="13" t="s">
        <v>17</v>
      </c>
      <c r="F39" s="13" t="s">
        <v>32</v>
      </c>
      <c r="G39" s="14">
        <v>20</v>
      </c>
      <c r="H39" s="9">
        <v>20</v>
      </c>
      <c r="I39" s="12">
        <f>TODO[[#This Row],[Estimation]]-TODO[[#This Row],[Temps passes]]</f>
        <v>0</v>
      </c>
      <c r="J39" s="11">
        <f>(H39/(H39+I39))*100</f>
        <v>100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75" customHeight="1">
      <c r="A40" s="21" t="s">
        <v>19</v>
      </c>
      <c r="B40" s="22" t="s">
        <v>99</v>
      </c>
      <c r="C40" s="22" t="s">
        <v>103</v>
      </c>
      <c r="D40" s="24" t="s">
        <v>100</v>
      </c>
      <c r="E40" s="13" t="s">
        <v>23</v>
      </c>
      <c r="F40" s="13" t="s">
        <v>32</v>
      </c>
      <c r="G40" s="14">
        <v>10</v>
      </c>
      <c r="H40" s="9">
        <v>10</v>
      </c>
      <c r="I40" s="12">
        <f>TODO[[#This Row],[Estimation]]-TODO[[#This Row],[Temps passes]]</f>
        <v>0</v>
      </c>
      <c r="J40" s="11">
        <f>(H40/(H40+I40))*100</f>
        <v>100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75" customHeight="1">
      <c r="A41" s="21" t="s">
        <v>19</v>
      </c>
      <c r="B41" s="22" t="s">
        <v>101</v>
      </c>
      <c r="C41" s="22" t="s">
        <v>81</v>
      </c>
      <c r="D41" s="24" t="s">
        <v>102</v>
      </c>
      <c r="E41" s="13" t="s">
        <v>23</v>
      </c>
      <c r="F41" s="13" t="s">
        <v>32</v>
      </c>
      <c r="G41" s="14">
        <v>20</v>
      </c>
      <c r="H41" s="9">
        <v>20</v>
      </c>
      <c r="I41" s="12">
        <f>TODO[[#This Row],[Estimation]]-TODO[[#This Row],[Temps passes]]</f>
        <v>0</v>
      </c>
      <c r="J41" s="11">
        <f>(H41/(H41+I41))*100</f>
        <v>100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75" customHeight="1">
      <c r="A42" s="21" t="s">
        <v>19</v>
      </c>
      <c r="B42" s="22" t="s">
        <v>92</v>
      </c>
      <c r="C42" s="22" t="s">
        <v>81</v>
      </c>
      <c r="D42" s="24" t="s">
        <v>104</v>
      </c>
      <c r="E42" s="13" t="s">
        <v>23</v>
      </c>
      <c r="F42" s="13" t="s">
        <v>32</v>
      </c>
      <c r="G42" s="14">
        <v>15</v>
      </c>
      <c r="H42" s="9">
        <v>15</v>
      </c>
      <c r="I42" s="12">
        <f>TODO[[#This Row],[Estimation]]-TODO[[#This Row],[Temps passes]]</f>
        <v>0</v>
      </c>
      <c r="J42" s="11">
        <f>(H42/(H42+I42))*100</f>
        <v>100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5.75" customHeight="1">
      <c r="A43" s="13" t="s">
        <v>19</v>
      </c>
      <c r="B43" s="22" t="s">
        <v>105</v>
      </c>
      <c r="C43" s="22" t="s">
        <v>83</v>
      </c>
      <c r="D43" s="24" t="s">
        <v>106</v>
      </c>
      <c r="E43" s="13" t="s">
        <v>16</v>
      </c>
      <c r="F43" s="13" t="s">
        <v>32</v>
      </c>
      <c r="G43" s="13">
        <v>15</v>
      </c>
      <c r="H43" s="9">
        <v>15</v>
      </c>
      <c r="I43" s="12">
        <f>TODO[[#This Row],[Estimation]]-TODO[[#This Row],[Temps passes]]</f>
        <v>0</v>
      </c>
      <c r="J43" s="11">
        <f>(H43/(H43+I43))*100</f>
        <v>100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5.75" customHeight="1">
      <c r="A44" s="13" t="s">
        <v>19</v>
      </c>
      <c r="B44" s="22" t="s">
        <v>92</v>
      </c>
      <c r="C44" s="22" t="s">
        <v>81</v>
      </c>
      <c r="D44" s="24" t="s">
        <v>107</v>
      </c>
      <c r="E44" s="13" t="s">
        <v>17</v>
      </c>
      <c r="F44" s="13" t="s">
        <v>32</v>
      </c>
      <c r="G44" s="13">
        <v>5</v>
      </c>
      <c r="H44" s="9">
        <v>5</v>
      </c>
      <c r="I44" s="12">
        <f>TODO[[#This Row],[Estimation]]-TODO[[#This Row],[Temps passes]]</f>
        <v>0</v>
      </c>
      <c r="J44" s="11">
        <f>(H44/(H44+I44))*100</f>
        <v>100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5.75" customHeight="1">
      <c r="A45" s="21" t="s">
        <v>19</v>
      </c>
      <c r="B45" s="22" t="s">
        <v>108</v>
      </c>
      <c r="C45" s="22" t="s">
        <v>103</v>
      </c>
      <c r="D45" s="24" t="s">
        <v>109</v>
      </c>
      <c r="E45" s="13" t="s">
        <v>23</v>
      </c>
      <c r="F45" s="13" t="s">
        <v>32</v>
      </c>
      <c r="G45" s="14">
        <v>10</v>
      </c>
      <c r="H45" s="9">
        <v>10</v>
      </c>
      <c r="I45" s="12">
        <f>TODO[[#This Row],[Estimation]]-TODO[[#This Row],[Temps passes]]</f>
        <v>0</v>
      </c>
      <c r="J45" s="11">
        <f>(H45/(H45+I45))*100</f>
        <v>100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5.75" customHeight="1">
      <c r="A46" s="21" t="s">
        <v>19</v>
      </c>
      <c r="B46" s="22" t="s">
        <v>110</v>
      </c>
      <c r="C46" s="22" t="s">
        <v>81</v>
      </c>
      <c r="D46" s="24" t="s">
        <v>111</v>
      </c>
      <c r="E46" s="13" t="s">
        <v>23</v>
      </c>
      <c r="F46" s="13" t="s">
        <v>32</v>
      </c>
      <c r="G46" s="14">
        <v>20</v>
      </c>
      <c r="H46" s="9">
        <v>20</v>
      </c>
      <c r="I46" s="12">
        <f>TODO[[#This Row],[Estimation]]-TODO[[#This Row],[Temps passes]]</f>
        <v>0</v>
      </c>
      <c r="J46" s="11">
        <f>(H46/(H46+I46))*100</f>
        <v>100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5.75" customHeight="1">
      <c r="A47" s="21" t="s">
        <v>19</v>
      </c>
      <c r="B47" s="22" t="s">
        <v>77</v>
      </c>
      <c r="C47" s="22" t="s">
        <v>81</v>
      </c>
      <c r="D47" s="24" t="s">
        <v>112</v>
      </c>
      <c r="E47" s="13" t="s">
        <v>16</v>
      </c>
      <c r="F47" s="13" t="s">
        <v>32</v>
      </c>
      <c r="G47" s="14">
        <v>15</v>
      </c>
      <c r="H47" s="9">
        <v>15</v>
      </c>
      <c r="I47" s="12">
        <f>TODO[[#This Row],[Estimation]]-TODO[[#This Row],[Temps passes]]</f>
        <v>0</v>
      </c>
      <c r="J47" s="11">
        <f>(H47/(H47+I47))*100</f>
        <v>100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5.75" customHeight="1">
      <c r="A48" s="13" t="s">
        <v>19</v>
      </c>
      <c r="B48" s="22" t="s">
        <v>113</v>
      </c>
      <c r="C48" s="22" t="s">
        <v>83</v>
      </c>
      <c r="D48" s="24" t="s">
        <v>114</v>
      </c>
      <c r="E48" s="13" t="s">
        <v>17</v>
      </c>
      <c r="F48" s="13" t="s">
        <v>32</v>
      </c>
      <c r="G48" s="13">
        <v>15</v>
      </c>
      <c r="H48" s="9">
        <v>15</v>
      </c>
      <c r="I48" s="12">
        <f>TODO[[#This Row],[Estimation]]-TODO[[#This Row],[Temps passes]]</f>
        <v>0</v>
      </c>
      <c r="J48" s="11">
        <f>(H48/(H48+I48))*100</f>
        <v>100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5.75" customHeight="1">
      <c r="A49" s="13" t="s">
        <v>19</v>
      </c>
      <c r="B49" s="22" t="s">
        <v>115</v>
      </c>
      <c r="C49" s="22" t="s">
        <v>81</v>
      </c>
      <c r="D49" s="24" t="s">
        <v>116</v>
      </c>
      <c r="E49" s="13" t="s">
        <v>17</v>
      </c>
      <c r="F49" s="13" t="s">
        <v>32</v>
      </c>
      <c r="G49" s="13">
        <v>30</v>
      </c>
      <c r="H49" s="9">
        <v>30</v>
      </c>
      <c r="I49" s="12">
        <f>TODO[[#This Row],[Estimation]]-TODO[[#This Row],[Temps passes]]</f>
        <v>0</v>
      </c>
      <c r="J49" s="11">
        <f>(H49/(H49+I49))*100</f>
        <v>100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</sheetData>
  <phoneticPr fontId="12" type="noConversion"/>
  <dataValidations count="7">
    <dataValidation type="list" allowBlank="1" sqref="F2:F49" xr:uid="{00000000-0002-0000-0100-000000000000}">
      <formula1>"ETU003256,ETU003326"</formula1>
    </dataValidation>
    <dataValidation type="list" allowBlank="1" sqref="B2:B49" xr:uid="{00000000-0002-0000-0100-000001000000}">
      <formula1>"no module,login,articles,rewriting ,categorie,liste-article,detail-article"</formula1>
    </dataValidation>
    <dataValidation type="list" allowBlank="1" sqref="C2:C49" xr:uid="{00000000-0002-0000-0100-000002000000}">
      <formula1>"No Page,login.php,list.php,create.php,edit.php,index.php,articles-list.php,article-detail.php,home.php,header.php,footer.php,article-version,edit.php"</formula1>
    </dataValidation>
    <dataValidation type="custom" allowBlank="1" showDropDown="1" sqref="G2:G49" xr:uid="{00000000-0002-0000-0100-000003000000}">
      <formula1>AND(ISNUMBER(G2),(NOT(OR(NOT(ISERROR(DATEVALUE(G2))), AND(ISNUMBER(G2), LEFT(CELL("format", G2))="D")))))</formula1>
    </dataValidation>
    <dataValidation type="list" allowBlank="1" sqref="E2:E49" xr:uid="{00000000-0002-0000-0100-000004000000}">
      <formula1>"Affichage,Metier,Integration,Tier,Base de donnee"</formula1>
    </dataValidation>
    <dataValidation allowBlank="1" showDropDown="1" sqref="D2:D49" xr:uid="{00000000-0002-0000-0100-000005000000}"/>
    <dataValidation type="list" allowBlank="1" sqref="A2:A49" xr:uid="{00000000-0002-0000-0100-000006000000}">
      <formula1>"Frontoffice,Backoffice,tier,rewriting "</formula1>
    </dataValidation>
  </dataValidations>
  <pageMargins left="0.7" right="0.7" top="0.75" bottom="0.75" header="0" footer="0"/>
  <pageSetup fitToHeight="0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"/>
  <sheetViews>
    <sheetView tabSelected="1" workbookViewId="0">
      <pane ySplit="1" topLeftCell="A8" activePane="bottomLeft" state="frozen"/>
      <selection pane="bottomLeft" activeCell="F4" sqref="F4"/>
    </sheetView>
  </sheetViews>
  <sheetFormatPr baseColWidth="10" defaultColWidth="12.6640625" defaultRowHeight="15" customHeight="1"/>
  <cols>
    <col min="2" max="2" width="13.44140625" customWidth="1"/>
    <col min="3" max="3" width="16" customWidth="1"/>
    <col min="4" max="4" width="14.77734375" customWidth="1"/>
  </cols>
  <sheetData>
    <row r="1" spans="1:4" ht="22.5" customHeight="1">
      <c r="A1" s="1" t="s">
        <v>7</v>
      </c>
      <c r="B1" s="1" t="s">
        <v>8</v>
      </c>
      <c r="C1" s="1" t="s">
        <v>25</v>
      </c>
      <c r="D1" s="1" t="s">
        <v>11</v>
      </c>
    </row>
    <row r="2" spans="1:4" ht="22.5" customHeight="1">
      <c r="A2" s="12" t="str">
        <f>Groupe[[#This Row],[ETU]]</f>
        <v>ETU003298</v>
      </c>
      <c r="B2" s="12">
        <f>SUMIF(TODO[Qui], A2, TODO[Estimation])</f>
        <v>340</v>
      </c>
      <c r="C2" s="12">
        <f>SUMIF(TODO[Qui], A2, TODO[Temps passes])</f>
        <v>340</v>
      </c>
      <c r="D2" s="12">
        <f>IFERROR(C2 /(C2 + SUMIF(TODO[Qui], A2, TODO[Reste a faire])),0)*100</f>
        <v>100</v>
      </c>
    </row>
    <row r="3" spans="1:4" ht="22.5" customHeight="1">
      <c r="A3" s="12" t="str">
        <f>Groupe[[#This Row],[ETU]]</f>
        <v>ETU003341</v>
      </c>
      <c r="B3" s="12">
        <f>SUMIF(TODO[Qui], A3, TODO[Estimation])</f>
        <v>270</v>
      </c>
      <c r="C3" s="12">
        <f>SUMIF(TODO[Qui], A3, TODO[Temps passes])</f>
        <v>270</v>
      </c>
      <c r="D3" s="12">
        <f>IFERROR(C3 /(C3 + SUMIF(TODO[Qui], A3, TODO[Reste a faire])),0)*100</f>
        <v>100</v>
      </c>
    </row>
    <row r="5" spans="1:4" ht="13.2">
      <c r="A5" s="15" t="s">
        <v>24</v>
      </c>
      <c r="B5" s="15">
        <f>SUM(Recapitulation[Estimation])</f>
        <v>610</v>
      </c>
      <c r="C5" s="15">
        <f>SUM(Recapitulation[Temps passer])</f>
        <v>610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7.6640625" customWidth="1"/>
    <col min="2" max="2" width="20.109375" customWidth="1"/>
    <col min="3" max="3" width="18.88671875" customWidth="1"/>
    <col min="4" max="4" width="14.77734375" customWidth="1"/>
    <col min="5" max="5" width="15.77734375" customWidth="1"/>
  </cols>
  <sheetData>
    <row r="1" spans="1:5" ht="22.5" customHeight="1">
      <c r="A1" s="1" t="s">
        <v>26</v>
      </c>
      <c r="B1" s="1" t="s">
        <v>27</v>
      </c>
      <c r="C1" s="1" t="s">
        <v>28</v>
      </c>
      <c r="D1" s="1" t="s">
        <v>11</v>
      </c>
      <c r="E1" s="1" t="s">
        <v>29</v>
      </c>
    </row>
    <row r="2" spans="1:5" ht="22.5" customHeight="1">
      <c r="A2" s="16">
        <f>SUM(TODO[Estimation])</f>
        <v>610</v>
      </c>
      <c r="B2" s="16">
        <f>SUM(TODO[Temps passes])</f>
        <v>610</v>
      </c>
      <c r="C2" s="16">
        <f>SUM(TODO[Reste a faire])</f>
        <v>0</v>
      </c>
      <c r="D2" s="17">
        <f>(B2/(B2+C2))</f>
        <v>1</v>
      </c>
      <c r="E2" s="18">
        <f>((B2+C2)-A2)/A2</f>
        <v>0</v>
      </c>
    </row>
    <row r="4" spans="1:5" ht="15.6">
      <c r="A4" s="15" t="s">
        <v>30</v>
      </c>
      <c r="B4" s="19" t="s">
        <v>31</v>
      </c>
      <c r="C4" s="16">
        <f>Avancement[Temps passer Total]/60</f>
        <v>10.166666666666666</v>
      </c>
      <c r="D4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Groupe</vt:lpstr>
      <vt:lpstr>Todo</vt:lpstr>
      <vt:lpstr>Recapitulation</vt:lpstr>
      <vt:lpstr>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Rajaonarivony</cp:lastModifiedBy>
  <dcterms:created xsi:type="dcterms:W3CDTF">2026-03-31T10:51:55Z</dcterms:created>
  <dcterms:modified xsi:type="dcterms:W3CDTF">2026-03-31T10:51:55Z</dcterms:modified>
</cp:coreProperties>
</file>